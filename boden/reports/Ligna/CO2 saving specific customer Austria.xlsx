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ser_ims\05-Fachbereich-GM\15_EPD\LCAs\Boden\Ligna\"/>
    </mc:Choice>
  </mc:AlternateContent>
  <xr:revisionPtr revIDLastSave="0" documentId="8_{9639BA93-A649-4FA5-B059-EEE896A98E8C}" xr6:coauthVersionLast="47" xr6:coauthVersionMax="47" xr10:uidLastSave="{00000000-0000-0000-0000-000000000000}"/>
  <bookViews>
    <workbookView xWindow="-110" yWindow="-110" windowWidth="19420" windowHeight="10300" xr2:uid="{5086E151-2449-4BD7-8EAE-4ABFBA07EAB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" l="1"/>
  <c r="B7" i="1"/>
  <c r="B2" i="1"/>
  <c r="B3" i="1" s="1"/>
  <c r="B4" i="1" s="1"/>
  <c r="B5" i="1" s="1"/>
  <c r="B6" i="1" s="1"/>
</calcChain>
</file>

<file path=xl/sharedStrings.xml><?xml version="1.0" encoding="utf-8"?>
<sst xmlns="http://schemas.openxmlformats.org/spreadsheetml/2006/main" count="11" uniqueCount="11">
  <si>
    <t>Input</t>
  </si>
  <si>
    <t>Weight (kg)</t>
  </si>
  <si>
    <t>Comment / Calculation Formula</t>
  </si>
  <si>
    <t>Wood content (90%) in chipboard atro</t>
  </si>
  <si>
    <t>Bound carbon in wood (50%, assumption)</t>
  </si>
  <si>
    <t>*44/12</t>
  </si>
  <si>
    <t>Ligna 38 mm, assumption 700 kg/m³</t>
  </si>
  <si>
    <t>water content 2,23 l</t>
  </si>
  <si>
    <t>if water content 8,4%, remaining chipboard atro</t>
  </si>
  <si>
    <t>Conversion of carbon to carbon dioxide /m²</t>
  </si>
  <si>
    <t>900 panels into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</si>
</sst>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name val="Arial Narrow"/>
      <family val="2"/>
    </font>
    <font>
      <sz val="12"/>
      <color theme="8"/>
      <name val="Arial Narrow"/>
      <family val="2"/>
    </font>
    <font>
      <sz val="12"/>
      <color rgb="FFFF0000"/>
      <name val="Arial Narrow"/>
      <family val="2"/>
    </font>
    <font>
      <b/>
      <sz val="12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3" fillId="0" borderId="2" xfId="0" applyFont="1" applyBorder="1"/>
    <xf numFmtId="0" fontId="3" fillId="0" borderId="2" xfId="0" applyFont="1" applyBorder="1" applyAlignment="1">
      <alignment horizontal="justify" vertical="center"/>
    </xf>
    <xf numFmtId="0" fontId="4" fillId="0" borderId="2" xfId="0" applyFont="1" applyBorder="1"/>
    <xf numFmtId="2" fontId="5" fillId="3" borderId="2" xfId="0" applyNumberFormat="1" applyFont="1" applyFill="1" applyBorder="1"/>
    <xf numFmtId="2" fontId="2" fillId="2" borderId="1" xfId="1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/>
    <xf numFmtId="2" fontId="3" fillId="0" borderId="2" xfId="0" applyNumberFormat="1" applyFont="1" applyBorder="1"/>
    <xf numFmtId="2" fontId="0" fillId="0" borderId="0" xfId="0" applyNumberFormat="1"/>
    <xf numFmtId="2" fontId="0" fillId="4" borderId="0" xfId="0" applyNumberFormat="1" applyFill="1"/>
  </cellXfs>
  <cellStyles count="2">
    <cellStyle name="Standard" xfId="0" builtinId="0"/>
    <cellStyle name="Standard 17" xfId="1" xr:uid="{1A883D6D-EF20-4E94-A1CC-152A0D406D4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A9AA-D82A-4394-B63A-E96C860BE897}">
  <dimension ref="A1:C8"/>
  <sheetViews>
    <sheetView tabSelected="1" workbookViewId="0">
      <selection activeCell="B8" sqref="B8"/>
    </sheetView>
  </sheetViews>
  <sheetFormatPr baseColWidth="10" defaultRowHeight="14.5" x14ac:dyDescent="0.35"/>
  <cols>
    <col min="1" max="1" width="38.36328125" customWidth="1"/>
    <col min="2" max="2" width="22.08984375" style="10" customWidth="1"/>
    <col min="3" max="3" width="22.453125" customWidth="1"/>
  </cols>
  <sheetData>
    <row r="1" spans="1:3" ht="31" x14ac:dyDescent="0.35">
      <c r="A1" s="1" t="s">
        <v>0</v>
      </c>
      <c r="B1" s="7" t="s">
        <v>1</v>
      </c>
      <c r="C1" s="1" t="s">
        <v>2</v>
      </c>
    </row>
    <row r="2" spans="1:3" ht="15.5" x14ac:dyDescent="0.35">
      <c r="A2" s="4" t="s">
        <v>6</v>
      </c>
      <c r="B2" s="8">
        <f>700*0.038</f>
        <v>26.599999999999998</v>
      </c>
      <c r="C2" s="4"/>
    </row>
    <row r="3" spans="1:3" ht="31" x14ac:dyDescent="0.35">
      <c r="A3" s="4" t="s">
        <v>8</v>
      </c>
      <c r="B3" s="8">
        <f>B2-(B2*0.084)</f>
        <v>24.365599999999997</v>
      </c>
      <c r="C3" s="3" t="s">
        <v>7</v>
      </c>
    </row>
    <row r="4" spans="1:3" ht="15.5" x14ac:dyDescent="0.35">
      <c r="A4" s="2" t="s">
        <v>3</v>
      </c>
      <c r="B4" s="8">
        <f>B3*0.9</f>
        <v>21.929039999999997</v>
      </c>
      <c r="C4" s="3"/>
    </row>
    <row r="5" spans="1:3" ht="15.5" x14ac:dyDescent="0.35">
      <c r="A5" s="3" t="s">
        <v>4</v>
      </c>
      <c r="B5" s="9">
        <f>B4*0.5</f>
        <v>10.964519999999998</v>
      </c>
    </row>
    <row r="6" spans="1:3" ht="15.5" x14ac:dyDescent="0.35">
      <c r="A6" s="5" t="s">
        <v>9</v>
      </c>
      <c r="B6" s="6">
        <f>B5*44/12</f>
        <v>40.203239999999994</v>
      </c>
      <c r="C6" s="5" t="s">
        <v>5</v>
      </c>
    </row>
    <row r="7" spans="1:3" x14ac:dyDescent="0.35">
      <c r="A7" t="s">
        <v>10</v>
      </c>
      <c r="B7" s="10">
        <f>900*0.36</f>
        <v>324</v>
      </c>
    </row>
    <row r="8" spans="1:3" x14ac:dyDescent="0.35">
      <c r="B8" s="11">
        <f>B7*B6</f>
        <v>13025.849759999997</v>
      </c>
    </row>
  </sheetData>
  <conditionalFormatting sqref="A1">
    <cfRule type="duplicateValues" dxfId="1" priority="1"/>
  </conditionalFormatting>
  <conditionalFormatting sqref="B1:C1">
    <cfRule type="duplicateValues" dxfId="0" priority="2"/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Lindner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Denisa Krauss</dc:creator>
  <cp:lastModifiedBy>Denisa Krauss</cp:lastModifiedBy>
  <dcterms:created xsi:type="dcterms:W3CDTF">2025-11-13T09:49:40Z</dcterms:created>
  <dcterms:modified xsi:type="dcterms:W3CDTF">2025-11-13T10:01:47Z</dcterms:modified>
</cp:coreProperties>
</file>